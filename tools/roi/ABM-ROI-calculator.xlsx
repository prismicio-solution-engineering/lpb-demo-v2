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M ROI calculator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tc={5c4a80f0-d42b-4525-8908-f49ed77d269e}</author>
    <author>tc={8b87c266-9ecd-4696-b705-39fc1ed7a7e5}</author>
    <author>tc={9f107299-baa7-4d3c-b3dc-5c1ce02140a7}</author>
    <author>tc={a8e8b253-99b2-484c-8f41-b2504248e69d}</author>
    <author>tc={bfc21f63-4587-4b82-89f7-d5446d792818}</author>
  </authors>
  <commentList>
    <comment authorId="0" xr:uid="{5c4a80f0-d42b-4525-8908-f49ed77d269e}" ref="G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based on the fact that Prismic is doing deep personalization not find and replace, so we are assuming a lift in accounts to opportunity.
</t>
      </text>
    </comment>
    <comment authorId="1" xr:uid="{8b87c266-9ecd-4696-b705-39fc1ed7a7e5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need confirmation from Francois B
</t>
      </text>
    </comment>
    <comment authorId="2" xr:uid="{9f107299-baa7-4d3c-b3dc-5c1ce02140a7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Minimum is one page per account, but recommended approach is to target different decision makers with a tailored messaging. Research shows that typical B2B buying process consists of 5-11 decision makers.
</t>
      </text>
    </comment>
    <comment authorId="3" xr:uid="{a8e8b253-99b2-484c-8f41-b2504248e69d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Mark this field as optional, and don't allow 0, use copy to make sure that 0 is not possible to enter
Enter the default value of 5 but allow people to change it
</t>
      </text>
    </comment>
    <comment authorId="4" xr:uid="{bfc21f63-4587-4b82-89f7-d5446d792818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Chris to explain the logic in the copy
Reply:
	Background calculation
</t>
      </text>
    </comment>
  </commentList>
</comments>
</file>

<file path=xl/sharedStrings.xml><?xml version="1.0" encoding="utf-8"?>
<sst xmlns="http://schemas.openxmlformats.org/spreadsheetml/2006/main" count="52" uniqueCount="47">
  <si>
    <t>ABM SCALE</t>
  </si>
  <si>
    <t>Update this based on the customer</t>
  </si>
  <si>
    <t>How many accounts are you currently targeting?</t>
  </si>
  <si>
    <t>How many accounts do you want to target?</t>
  </si>
  <si>
    <t>How many decision makers are you talking to per account?</t>
  </si>
  <si>
    <t>Minimum number of pages</t>
  </si>
  <si>
    <t>Recommended number of pages</t>
  </si>
  <si>
    <t xml:space="preserve">SAVINGS							</t>
  </si>
  <si>
    <t>Manual costs</t>
  </si>
  <si>
    <t>Automated costs + expected manual work left</t>
  </si>
  <si>
    <t>Number of new pages</t>
  </si>
  <si>
    <t>Manual cost per page</t>
  </si>
  <si>
    <t>Automated cost per page</t>
  </si>
  <si>
    <t>Writer hours per page</t>
  </si>
  <si>
    <t>Total manual hours</t>
  </si>
  <si>
    <t>Total automated content cost</t>
  </si>
  <si>
    <t>Writer hourly rate</t>
  </si>
  <si>
    <t>Total manual content cost</t>
  </si>
  <si>
    <t>Manual hours left</t>
  </si>
  <si>
    <t>Estimated time savings</t>
  </si>
  <si>
    <t>Manual cost left</t>
  </si>
  <si>
    <t>Cost savings</t>
  </si>
  <si>
    <t>Manual cost per page left</t>
  </si>
  <si>
    <t>Savings per page</t>
  </si>
  <si>
    <t>Total costs per page</t>
  </si>
  <si>
    <t>Total savings</t>
  </si>
  <si>
    <t>Total costs</t>
  </si>
  <si>
    <t>ROI</t>
  </si>
  <si>
    <t>Funnel assumptions</t>
  </si>
  <si>
    <t>Without tool</t>
  </si>
  <si>
    <t>With tool (expected 20% conversion lift)</t>
  </si>
  <si>
    <t>% of target accounts engaged</t>
  </si>
  <si>
    <t>Engaged accounts</t>
  </si>
  <si>
    <t>New opp rate</t>
  </si>
  <si>
    <t>% of engaged accounts → opportunity</t>
  </si>
  <si>
    <t>Opportunities created</t>
  </si>
  <si>
    <t>Opportunities</t>
  </si>
  <si>
    <t>Average deal size ($)</t>
  </si>
  <si>
    <t>Pipeline influenced</t>
  </si>
  <si>
    <t>Pipeline</t>
  </si>
  <si>
    <t>Win rate (%)</t>
  </si>
  <si>
    <t>Expected revenue</t>
  </si>
  <si>
    <t>Incremental revenue</t>
  </si>
  <si>
    <t>Summary</t>
  </si>
  <si>
    <t>Annual cost savings</t>
  </si>
  <si>
    <t>Total impact</t>
  </si>
  <si>
    <t>Tool investment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</si>
</sst>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6">
    <font>
      <sz val="10.0"/>
      <color rgb="FF000000"/>
      <name val="Arial"/>
      <scheme val="minor"/>
    </font>
    <font>
      <b/>
      <i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3" fontId="2" numFmtId="0" xfId="0" applyAlignment="1" applyFont="1">
      <alignment horizontal="right" readingOrder="0"/>
    </xf>
    <xf borderId="0" fillId="0" fontId="2" numFmtId="0" xfId="0" applyFont="1"/>
    <xf borderId="0" fillId="0" fontId="2" numFmtId="0" xfId="0" applyAlignment="1" applyFont="1">
      <alignment horizontal="right"/>
    </xf>
    <xf borderId="0" fillId="4" fontId="1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3" fontId="2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2" numFmtId="9" xfId="0" applyAlignment="1" applyFont="1" applyNumberFormat="1">
      <alignment horizontal="right" vertical="bottom"/>
    </xf>
    <xf borderId="0" fillId="5" fontId="1" numFmtId="0" xfId="0" applyAlignment="1" applyFill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" numFmtId="0" xfId="0" applyAlignment="1" applyFill="1" applyFont="1">
      <alignment readingOrder="0" vertical="bottom"/>
    </xf>
    <xf borderId="0" fillId="3" fontId="2" numFmtId="9" xfId="0" applyAlignment="1" applyFont="1" applyNumberFormat="1">
      <alignment readingOrder="0" vertical="bottom"/>
    </xf>
    <xf borderId="0" fillId="0" fontId="2" numFmtId="9" xfId="0" applyAlignment="1" applyFont="1" applyNumberFormat="1">
      <alignment vertical="bottom"/>
    </xf>
    <xf borderId="0" fillId="3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5" numFmtId="0" xfId="0" applyAlignment="1" applyFont="1">
      <alignment readingOrder="0"/>
    </xf>
    <xf borderId="0" fillId="0" fontId="5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idija Kacar" id="{140509be-098d-408b-96d4-ffc779a79b6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4" dT="2026-02-17T12:49:08.00" personId="{140509be-098d-408b-96d4-ffc779a79b6c}" id="{5c4a80f0-d42b-4525-8908-f49ed77d269e}" done="0">
    <x18tc:text xml:space="preserve">This based on the fact that Prismic is doing deep personalization not find and replace, so we are assuming a lift in accounts to opportunity.</x18tc:text>
  </x18tc:threadedComment>
  <x18tc:threadedComment ref="A5" dT="2026-02-17T12:28:21.00" personId="{140509be-098d-408b-96d4-ffc779a79b6c}" id="{a8e8b253-99b2-484c-8f41-b2504248e69d}" done="0">
    <x18tc:text xml:space="preserve">Mark this field as optional, and don't allow 0, use copy to make sure that 0 is not possible to enter
Enter the default value of 5 but allow people to change it</x18tc:text>
  </x18tc:threadedComment>
  <x18tc:threadedComment ref="G23" dT="2026-03-10T13:38:21.00" personId="{140509be-098d-408b-96d4-ffc779a79b6c}" id="{bfc21f63-4587-4b82-89f7-d5446d792818}" done="0">
    <x18tc:text xml:space="preserve">Need Chris to explain the logic in the copy</x18tc:text>
  </x18tc:threadedComment>
  <x18tc:threadedComment ref="G23" dT="2026-03-10T13:38:28.00" personId="{140509be-098d-408b-96d4-ffc779a79b6c}" id="{f5400b40-6ab1-44c6-879b-ebcfbcdfa253}" parentId="{bfc21f63-4587-4b82-89f7-d5446d792818}">
    <x18tc:text xml:space="preserve">Background calculation</x18tc:text>
  </x18tc:threadedComment>
  <x18tc:threadedComment ref="H11" dT="2026-02-17T12:29:25.00" personId="{140509be-098d-408b-96d4-ffc779a79b6c}" id="{8b87c266-9ecd-4696-b705-39fc1ed7a7e5}" done="0">
    <x18tc:text xml:space="preserve">We need confirmation from Francois B</x18tc:text>
  </x18tc:threadedComment>
  <x18tc:threadedComment ref="B5" dT="2026-02-17T12:23:20.00" personId="{140509be-098d-408b-96d4-ffc779a79b6c}" id="{9f107299-baa7-4d3c-b3dc-5c1ce02140a7}" done="0">
    <x18tc:text xml:space="preserve">Minimum is one page per account, but recommended approach is to target different decision makers with a tailored messaging. Research shows that typical B2B buying process consists of 5-11 decision makers.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4" max="4" width="21.5"/>
    <col customWidth="1" min="7" max="7" width="37.25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>
        <v>10.0</v>
      </c>
    </row>
    <row r="4">
      <c r="A4" s="3" t="s">
        <v>3</v>
      </c>
      <c r="B4" s="5">
        <v>100.0</v>
      </c>
    </row>
    <row r="5">
      <c r="A5" s="6" t="s">
        <v>4</v>
      </c>
      <c r="B5" s="7">
        <v>5.0</v>
      </c>
    </row>
    <row r="6">
      <c r="A6" s="8" t="s">
        <v>5</v>
      </c>
      <c r="B6" s="9">
        <f>B4</f>
        <v>100</v>
      </c>
    </row>
    <row r="7">
      <c r="A7" s="3" t="s">
        <v>6</v>
      </c>
      <c r="B7" s="4">
        <f>B6*B5</f>
        <v>500</v>
      </c>
    </row>
    <row r="9">
      <c r="A9" s="1" t="s">
        <v>7</v>
      </c>
    </row>
    <row r="10">
      <c r="A10" s="2" t="s">
        <v>1</v>
      </c>
      <c r="D10" s="10" t="s">
        <v>8</v>
      </c>
      <c r="G10" s="11" t="s">
        <v>9</v>
      </c>
    </row>
    <row r="11">
      <c r="A11" s="12" t="s">
        <v>10</v>
      </c>
      <c r="B11" s="4">
        <f>B7</f>
        <v>500</v>
      </c>
      <c r="D11" s="3" t="s">
        <v>11</v>
      </c>
      <c r="E11" s="13">
        <f>B13*B12</f>
        <v>800</v>
      </c>
      <c r="G11" s="3" t="s">
        <v>12</v>
      </c>
      <c r="H11" s="14">
        <v>160.0</v>
      </c>
    </row>
    <row r="12">
      <c r="A12" s="3" t="s">
        <v>13</v>
      </c>
      <c r="B12" s="15">
        <v>8.0</v>
      </c>
      <c r="D12" s="3" t="s">
        <v>14</v>
      </c>
      <c r="E12" s="4">
        <f>B12*B11</f>
        <v>4000</v>
      </c>
      <c r="G12" s="3" t="s">
        <v>15</v>
      </c>
      <c r="H12" s="13">
        <f>$H$11*$B$11</f>
        <v>80000</v>
      </c>
    </row>
    <row r="13">
      <c r="A13" s="3" t="s">
        <v>16</v>
      </c>
      <c r="B13" s="14">
        <v>100.0</v>
      </c>
      <c r="D13" s="16" t="s">
        <v>17</v>
      </c>
      <c r="E13" s="13">
        <f> B11 * (B13 * B12)</f>
        <v>400000</v>
      </c>
      <c r="G13" s="3" t="s">
        <v>18</v>
      </c>
      <c r="H13" s="4">
        <f>$E$12*(100%-$B$14)</f>
        <v>800</v>
      </c>
    </row>
    <row r="14">
      <c r="A14" s="3" t="s">
        <v>19</v>
      </c>
      <c r="B14" s="17">
        <v>0.8</v>
      </c>
      <c r="G14" s="3" t="s">
        <v>20</v>
      </c>
      <c r="H14" s="13">
        <f>$H$13*$B$13</f>
        <v>80000</v>
      </c>
    </row>
    <row r="15">
      <c r="D15" s="18" t="s">
        <v>21</v>
      </c>
      <c r="G15" s="3" t="s">
        <v>22</v>
      </c>
      <c r="H15" s="13">
        <f>$H$14/$B$11</f>
        <v>160</v>
      </c>
    </row>
    <row r="16">
      <c r="D16" s="3" t="s">
        <v>23</v>
      </c>
      <c r="E16" s="19">
        <f>E11-H16</f>
        <v>480</v>
      </c>
      <c r="G16" s="16" t="s">
        <v>24</v>
      </c>
      <c r="H16" s="19">
        <f>$H$11+$H$15</f>
        <v>320</v>
      </c>
    </row>
    <row r="17">
      <c r="D17" s="3" t="s">
        <v>25</v>
      </c>
      <c r="E17" s="19">
        <f>E13-H17</f>
        <v>240000</v>
      </c>
      <c r="G17" s="16" t="s">
        <v>26</v>
      </c>
      <c r="H17" s="19">
        <f>$H$14+$H$12</f>
        <v>160000</v>
      </c>
    </row>
    <row r="20">
      <c r="A20" s="20" t="s">
        <v>27</v>
      </c>
    </row>
    <row r="21">
      <c r="A21" s="2" t="s">
        <v>1</v>
      </c>
    </row>
    <row r="22">
      <c r="A22" s="3"/>
      <c r="B22" s="3"/>
    </row>
    <row r="23">
      <c r="A23" s="20" t="s">
        <v>28</v>
      </c>
      <c r="B23" s="3"/>
      <c r="D23" s="20" t="s">
        <v>29</v>
      </c>
      <c r="G23" s="20" t="s">
        <v>30</v>
      </c>
    </row>
    <row r="24">
      <c r="A24" s="3" t="s">
        <v>31</v>
      </c>
      <c r="B24" s="21">
        <v>0.3</v>
      </c>
      <c r="D24" s="3" t="s">
        <v>32</v>
      </c>
      <c r="E24" s="3">
        <f>B4*B24</f>
        <v>30</v>
      </c>
      <c r="G24" s="12" t="s">
        <v>33</v>
      </c>
      <c r="H24" s="22">
        <f>B25*1.2</f>
        <v>0.24</v>
      </c>
    </row>
    <row r="25">
      <c r="A25" s="3" t="s">
        <v>34</v>
      </c>
      <c r="B25" s="21">
        <v>0.2</v>
      </c>
      <c r="D25" s="3" t="s">
        <v>35</v>
      </c>
      <c r="E25" s="3">
        <f>E24*B25</f>
        <v>6</v>
      </c>
      <c r="G25" s="12" t="s">
        <v>36</v>
      </c>
      <c r="H25" s="3">
        <f>E24*H24</f>
        <v>7.2</v>
      </c>
    </row>
    <row r="26">
      <c r="A26" s="3" t="s">
        <v>37</v>
      </c>
      <c r="B26" s="23">
        <v>75000.0</v>
      </c>
      <c r="D26" s="3" t="s">
        <v>38</v>
      </c>
      <c r="E26" s="24">
        <f>B26*E25</f>
        <v>450000</v>
      </c>
      <c r="G26" s="12" t="s">
        <v>39</v>
      </c>
      <c r="H26" s="24">
        <f>B26*H25</f>
        <v>540000</v>
      </c>
    </row>
    <row r="27">
      <c r="A27" s="3" t="s">
        <v>40</v>
      </c>
      <c r="B27" s="21">
        <v>0.3</v>
      </c>
      <c r="D27" s="3" t="s">
        <v>41</v>
      </c>
      <c r="E27" s="24">
        <f>E26*B27</f>
        <v>135000</v>
      </c>
      <c r="G27" s="12" t="s">
        <v>41</v>
      </c>
      <c r="H27" s="24">
        <f>H26*B27</f>
        <v>162000</v>
      </c>
    </row>
    <row r="28">
      <c r="G28" s="25" t="s">
        <v>42</v>
      </c>
      <c r="H28" s="26">
        <f>H27-E27</f>
        <v>27000</v>
      </c>
    </row>
    <row r="30">
      <c r="A30" s="20" t="s">
        <v>43</v>
      </c>
    </row>
    <row r="31">
      <c r="A31" s="25" t="s">
        <v>42</v>
      </c>
      <c r="B31" s="26">
        <f>H28</f>
        <v>27000</v>
      </c>
    </row>
    <row r="32">
      <c r="A32" s="25" t="s">
        <v>44</v>
      </c>
      <c r="B32" s="26">
        <f>E17</f>
        <v>240000</v>
      </c>
    </row>
    <row r="33">
      <c r="A33" s="25" t="s">
        <v>45</v>
      </c>
      <c r="B33" s="26">
        <f>B31+B32</f>
        <v>267000</v>
      </c>
    </row>
    <row r="34">
      <c r="A34" s="25" t="s">
        <v>46</v>
      </c>
      <c r="B34" s="26">
        <f>H12</f>
        <v>80000</v>
      </c>
    </row>
    <row r="35">
      <c r="A35" s="27" t="s">
        <v>27</v>
      </c>
      <c r="B35" s="28">
        <f>(B33-B34)/B34</f>
        <v>2.3375</v>
      </c>
    </row>
  </sheetData>
  <mergeCells count="12">
    <mergeCell ref="A20:B20"/>
    <mergeCell ref="A21:B21"/>
    <mergeCell ref="D23:E23"/>
    <mergeCell ref="G23:H23"/>
    <mergeCell ref="A30:B30"/>
    <mergeCell ref="A1:H1"/>
    <mergeCell ref="A2:B2"/>
    <mergeCell ref="A9:H9"/>
    <mergeCell ref="A10:B10"/>
    <mergeCell ref="D10:E10"/>
    <mergeCell ref="G10:H10"/>
    <mergeCell ref="D15:E15"/>
  </mergeCells>
  <drawing r:id="rId4"/>
  <legacyDrawing r:id="rId5"/>
</worksheet>
</file>